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<sst xmlns="http://schemas.openxmlformats.org/spreadsheetml/2006/main" count="113" uniqueCount="47">
  <si>
    <t xml:space="preserve">OrderID</t>
  </si>
  <si>
    <t xml:space="preserve">OrderDate</t>
  </si>
  <si>
    <t xml:space="preserve">Product</t>
  </si>
  <si>
    <t xml:space="preserve">Category</t>
  </si>
  <si>
    <t xml:space="preserve">Region</t>
  </si>
  <si>
    <t xml:space="preserve">Quantity</t>
  </si>
  <si>
    <t xml:space="preserve">UnitPrice</t>
  </si>
  <si>
    <t xml:space="preserve">TotalPrice</t>
  </si>
  <si>
    <t xml:space="preserve">2024-01-05</t>
  </si>
  <si>
    <t xml:space="preserve">Wireless Mouse</t>
  </si>
  <si>
    <t xml:space="preserve">Electronics</t>
  </si>
  <si>
    <t xml:space="preserve">North</t>
  </si>
  <si>
    <t xml:space="preserve">2024-01-06</t>
  </si>
  <si>
    <t xml:space="preserve">Office Chair</t>
  </si>
  <si>
    <t xml:space="preserve">Furniture</t>
  </si>
  <si>
    <t xml:space="preserve">South</t>
  </si>
  <si>
    <t xml:space="preserve">2024-01-07</t>
  </si>
  <si>
    <t xml:space="preserve">Notebook Set</t>
  </si>
  <si>
    <t xml:space="preserve">Stationery</t>
  </si>
  <si>
    <t xml:space="preserve">2024-01-08</t>
  </si>
  <si>
    <t xml:space="preserve">East</t>
  </si>
  <si>
    <t xml:space="preserve">2024-01-10</t>
  </si>
  <si>
    <t xml:space="preserve">Desk Lamp</t>
  </si>
  <si>
    <t xml:space="preserve">West</t>
  </si>
  <si>
    <t xml:space="preserve">2024-01-12</t>
  </si>
  <si>
    <t xml:space="preserve">2024-01-14</t>
  </si>
  <si>
    <t xml:space="preserve">Bluetooth Speaker</t>
  </si>
  <si>
    <t xml:space="preserve">2024-01-15</t>
  </si>
  <si>
    <t xml:space="preserve">2024-01-18</t>
  </si>
  <si>
    <t xml:space="preserve">2024-01-20</t>
  </si>
  <si>
    <t xml:space="preserve">2024-01-22</t>
  </si>
  <si>
    <t xml:space="preserve">2024-01-25</t>
  </si>
  <si>
    <t xml:space="preserve">2024-02-02</t>
  </si>
  <si>
    <t xml:space="preserve">2024-02-05</t>
  </si>
  <si>
    <t xml:space="preserve">2024-02-08</t>
  </si>
  <si>
    <t xml:space="preserve">2024-02-10</t>
  </si>
  <si>
    <t xml:space="preserve">2024-02-14</t>
  </si>
  <si>
    <t xml:space="preserve">2024-02-18</t>
  </si>
  <si>
    <t xml:space="preserve">2024-02-20</t>
  </si>
  <si>
    <t xml:space="preserve">2024-02-25</t>
  </si>
  <si>
    <t xml:space="preserve">Sales Performance Dashboard</t>
  </si>
  <si>
    <t xml:space="preserve">Total Sales</t>
  </si>
  <si>
    <t xml:space="preserve">Average Order Value</t>
  </si>
  <si>
    <t xml:space="preserve">Total Orders</t>
  </si>
  <si>
    <t xml:space="preserve">Sales by Category</t>
  </si>
  <si>
    <t xml:space="preserve">Sales by Region</t>
  </si>
  <si>
    <t xml:space="preserve">Sales by Product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</si>
</sst>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C0504D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Dashboard!B8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Dashboard!$A$9:$A$11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Stationery</c:v>
                </c:pt>
              </c:strCache>
            </c:strRef>
          </c:cat>
          <c:val>
            <c:numRef>
              <c:f>Dashboard!$B$9:$B$11</c:f>
              <c:numCache>
                <c:formatCode>\$#,##0.00</c:formatCode>
                <c:ptCount val="3"/>
                <c:pt idx="0">
                  <c:v>589.8</c:v>
                </c:pt>
                <c:pt idx="1">
                  <c:v>854.94</c:v>
                </c:pt>
                <c:pt idx="2">
                  <c:v>202.5</c:v>
                </c:pt>
              </c:numCache>
            </c:numRef>
          </c:val>
        </c:ser>
        <c:gapWidth val="150"/>
        <c:overlap val="0"/>
        <c:axId val="7414680"/>
        <c:axId val="63972341"/>
      </c:barChart>
      <c:catAx>
        <c:axId val="7414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972341"/>
        <c:crosses val="autoZero"/>
        <c:auto val="1"/>
        <c:lblAlgn val="ctr"/>
        <c:lblOffset val="100"/>
        <c:noMultiLvlLbl val="0"/>
      </c:catAx>
      <c:valAx>
        <c:axId val="639723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146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Dashboard!E8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Dashboard!$D$9:$D$12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Dashboard!$E$9:$E$12</c:f>
              <c:numCache>
                <c:formatCode>\$#,##0.00</c:formatCode>
                <c:ptCount val="4"/>
                <c:pt idx="0">
                  <c:v>478.9</c:v>
                </c:pt>
                <c:pt idx="1">
                  <c:v>471.92</c:v>
                </c:pt>
                <c:pt idx="2">
                  <c:v>462.42</c:v>
                </c:pt>
                <c:pt idx="3">
                  <c:v>234</c:v>
                </c:pt>
              </c:numCache>
            </c:numRef>
          </c:val>
        </c:ser>
        <c:gapWidth val="150"/>
        <c:overlap val="0"/>
        <c:axId val="94802976"/>
        <c:axId val="28024069"/>
      </c:barChart>
      <c:catAx>
        <c:axId val="9480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024069"/>
        <c:crosses val="autoZero"/>
        <c:auto val="1"/>
        <c:lblAlgn val="ctr"/>
        <c:lblOffset val="100"/>
        <c:noMultiLvlLbl val="0"/>
      </c:catAx>
      <c:valAx>
        <c:axId val="280240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8029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Share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Dashboard!H8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Dashboard!$G$9:$G$13</c:f>
              <c:strCache>
                <c:ptCount val="5"/>
                <c:pt idx="0">
                  <c:v>Bluetooth Speaker</c:v>
                </c:pt>
                <c:pt idx="1">
                  <c:v>Desk Lamp</c:v>
                </c:pt>
                <c:pt idx="2">
                  <c:v>Notebook Set</c:v>
                </c:pt>
                <c:pt idx="3">
                  <c:v>Office Chair</c:v>
                </c:pt>
                <c:pt idx="4">
                  <c:v>Wireless Mouse</c:v>
                </c:pt>
              </c:strCache>
            </c:strRef>
          </c:cat>
          <c:val>
            <c:numRef>
              <c:f>Dashboard!$H$9:$H$13</c:f>
              <c:numCache>
                <c:formatCode>\$#,##0.00</c:formatCode>
                <c:ptCount val="5"/>
                <c:pt idx="0">
                  <c:v>270</c:v>
                </c:pt>
                <c:pt idx="1">
                  <c:v>315</c:v>
                </c:pt>
                <c:pt idx="2">
                  <c:v>202.5</c:v>
                </c:pt>
                <c:pt idx="3">
                  <c:v>539.94</c:v>
                </c:pt>
                <c:pt idx="4">
                  <c:v>319.8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160920</xdr:rowOff>
    </xdr:from>
    <xdr:to>
      <xdr:col>3</xdr:col>
      <xdr:colOff>639360</xdr:colOff>
      <xdr:row>27</xdr:row>
      <xdr:rowOff>13320</xdr:rowOff>
    </xdr:to>
    <xdr:graphicFrame>
      <xdr:nvGraphicFramePr>
        <xdr:cNvPr id="0" name="Chart 1"/>
        <xdr:cNvGraphicFramePr/>
      </xdr:nvGraphicFramePr>
      <xdr:xfrm>
        <a:off x="0" y="2857680"/>
        <a:ext cx="35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13</xdr:row>
      <xdr:rowOff>160920</xdr:rowOff>
    </xdr:from>
    <xdr:to>
      <xdr:col>6</xdr:col>
      <xdr:colOff>639000</xdr:colOff>
      <xdr:row>27</xdr:row>
      <xdr:rowOff>13320</xdr:rowOff>
    </xdr:to>
    <xdr:graphicFrame>
      <xdr:nvGraphicFramePr>
        <xdr:cNvPr id="1" name="Chart 2"/>
        <xdr:cNvGraphicFramePr/>
      </xdr:nvGraphicFramePr>
      <xdr:xfrm>
        <a:off x="2960280" y="2857680"/>
        <a:ext cx="35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13</xdr:row>
      <xdr:rowOff>160920</xdr:rowOff>
    </xdr:from>
    <xdr:to>
      <xdr:col>10</xdr:col>
      <xdr:colOff>403200</xdr:colOff>
      <xdr:row>27</xdr:row>
      <xdr:rowOff>13320</xdr:rowOff>
    </xdr:to>
    <xdr:graphicFrame>
      <xdr:nvGraphicFramePr>
        <xdr:cNvPr id="2" name="Chart 3"/>
        <xdr:cNvGraphicFramePr/>
      </xdr:nvGraphicFramePr>
      <xdr:xfrm>
        <a:off x="5920920" y="2857680"/>
        <a:ext cx="35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n">
        <v>1001</v>
      </c>
      <c r="B2" s="0" t="s">
        <v>8</v>
      </c>
      <c r="C2" s="0" t="s">
        <v>9</v>
      </c>
      <c r="D2" s="0" t="s">
        <v>10</v>
      </c>
      <c r="E2" s="0" t="s">
        <v>11</v>
      </c>
      <c r="F2" s="0" t="n">
        <v>3</v>
      </c>
      <c r="G2" s="0" t="n">
        <v>15.99</v>
      </c>
      <c r="H2" s="0" t="n">
        <f aca="false">F2*G2</f>
        <v>47.97</v>
      </c>
    </row>
    <row r="3" customFormat="false" ht="15" hidden="false" customHeight="false" outlineLevel="0" collapsed="false">
      <c r="A3" s="0" t="n">
        <v>1002</v>
      </c>
      <c r="B3" s="0" t="s">
        <v>12</v>
      </c>
      <c r="C3" s="0" t="s">
        <v>13</v>
      </c>
      <c r="D3" s="0" t="s">
        <v>14</v>
      </c>
      <c r="E3" s="0" t="s">
        <v>15</v>
      </c>
      <c r="F3" s="0" t="n">
        <v>1</v>
      </c>
      <c r="G3" s="0" t="n">
        <v>89.99</v>
      </c>
      <c r="H3" s="0" t="n">
        <f aca="false">F3*G3</f>
        <v>89.99</v>
      </c>
    </row>
    <row r="4" customFormat="false" ht="15" hidden="false" customHeight="false" outlineLevel="0" collapsed="false">
      <c r="A4" s="0" t="n">
        <v>1003</v>
      </c>
      <c r="B4" s="0" t="s">
        <v>16</v>
      </c>
      <c r="C4" s="0" t="s">
        <v>17</v>
      </c>
      <c r="D4" s="0" t="s">
        <v>18</v>
      </c>
      <c r="E4" s="0" t="s">
        <v>11</v>
      </c>
      <c r="F4" s="0" t="n">
        <v>10</v>
      </c>
      <c r="G4" s="0" t="n">
        <v>4.5</v>
      </c>
      <c r="H4" s="0" t="n">
        <f aca="false">F4*G4</f>
        <v>45</v>
      </c>
    </row>
    <row r="5" customFormat="false" ht="15" hidden="false" customHeight="false" outlineLevel="0" collapsed="false">
      <c r="A5" s="0" t="n">
        <v>1004</v>
      </c>
      <c r="B5" s="0" t="s">
        <v>19</v>
      </c>
      <c r="C5" s="0" t="s">
        <v>9</v>
      </c>
      <c r="D5" s="0" t="s">
        <v>10</v>
      </c>
      <c r="E5" s="0" t="s">
        <v>20</v>
      </c>
      <c r="F5" s="0" t="n">
        <v>2</v>
      </c>
      <c r="G5" s="0" t="n">
        <v>15.99</v>
      </c>
      <c r="H5" s="0" t="n">
        <f aca="false">F5*G5</f>
        <v>31.98</v>
      </c>
    </row>
    <row r="6" customFormat="false" ht="15" hidden="false" customHeight="false" outlineLevel="0" collapsed="false">
      <c r="A6" s="0" t="n">
        <v>1005</v>
      </c>
      <c r="B6" s="0" t="s">
        <v>21</v>
      </c>
      <c r="C6" s="0" t="s">
        <v>22</v>
      </c>
      <c r="D6" s="0" t="s">
        <v>14</v>
      </c>
      <c r="E6" s="0" t="s">
        <v>23</v>
      </c>
      <c r="F6" s="0" t="n">
        <v>4</v>
      </c>
      <c r="G6" s="0" t="n">
        <v>22.5</v>
      </c>
      <c r="H6" s="0" t="n">
        <f aca="false">F6*G6</f>
        <v>90</v>
      </c>
    </row>
    <row r="7" customFormat="false" ht="15" hidden="false" customHeight="false" outlineLevel="0" collapsed="false">
      <c r="A7" s="0" t="n">
        <v>1006</v>
      </c>
      <c r="B7" s="0" t="s">
        <v>24</v>
      </c>
      <c r="C7" s="0" t="s">
        <v>17</v>
      </c>
      <c r="D7" s="0" t="s">
        <v>18</v>
      </c>
      <c r="E7" s="0" t="s">
        <v>15</v>
      </c>
      <c r="F7" s="0" t="n">
        <v>15</v>
      </c>
      <c r="G7" s="0" t="n">
        <v>4.5</v>
      </c>
      <c r="H7" s="0" t="n">
        <f aca="false">F7*G7</f>
        <v>67.5</v>
      </c>
    </row>
    <row r="8" customFormat="false" ht="15" hidden="false" customHeight="false" outlineLevel="0" collapsed="false">
      <c r="A8" s="0" t="n">
        <v>1007</v>
      </c>
      <c r="B8" s="0" t="s">
        <v>25</v>
      </c>
      <c r="C8" s="0" t="s">
        <v>26</v>
      </c>
      <c r="D8" s="0" t="s">
        <v>10</v>
      </c>
      <c r="E8" s="0" t="s">
        <v>11</v>
      </c>
      <c r="F8" s="0" t="n">
        <v>1</v>
      </c>
      <c r="G8" s="0" t="n">
        <v>45</v>
      </c>
      <c r="H8" s="0" t="n">
        <f aca="false">F8*G8</f>
        <v>45</v>
      </c>
    </row>
    <row r="9" customFormat="false" ht="15" hidden="false" customHeight="false" outlineLevel="0" collapsed="false">
      <c r="A9" s="0" t="n">
        <v>1008</v>
      </c>
      <c r="B9" s="0" t="s">
        <v>27</v>
      </c>
      <c r="C9" s="0" t="s">
        <v>13</v>
      </c>
      <c r="D9" s="0" t="s">
        <v>14</v>
      </c>
      <c r="E9" s="0" t="s">
        <v>20</v>
      </c>
      <c r="F9" s="0" t="n">
        <v>2</v>
      </c>
      <c r="G9" s="0" t="n">
        <v>89.99</v>
      </c>
      <c r="H9" s="0" t="n">
        <f aca="false">F9*G9</f>
        <v>179.98</v>
      </c>
    </row>
    <row r="10" customFormat="false" ht="15" hidden="false" customHeight="false" outlineLevel="0" collapsed="false">
      <c r="A10" s="0" t="n">
        <v>1009</v>
      </c>
      <c r="B10" s="0" t="s">
        <v>28</v>
      </c>
      <c r="C10" s="0" t="s">
        <v>22</v>
      </c>
      <c r="D10" s="0" t="s">
        <v>14</v>
      </c>
      <c r="E10" s="0" t="s">
        <v>11</v>
      </c>
      <c r="F10" s="0" t="n">
        <v>3</v>
      </c>
      <c r="G10" s="0" t="n">
        <v>22.5</v>
      </c>
      <c r="H10" s="0" t="n">
        <f aca="false">F10*G10</f>
        <v>67.5</v>
      </c>
    </row>
    <row r="11" customFormat="false" ht="15" hidden="false" customHeight="false" outlineLevel="0" collapsed="false">
      <c r="A11" s="0" t="n">
        <v>1010</v>
      </c>
      <c r="B11" s="0" t="s">
        <v>29</v>
      </c>
      <c r="C11" s="0" t="s">
        <v>9</v>
      </c>
      <c r="D11" s="0" t="s">
        <v>10</v>
      </c>
      <c r="E11" s="0" t="s">
        <v>15</v>
      </c>
      <c r="F11" s="0" t="n">
        <v>5</v>
      </c>
      <c r="G11" s="0" t="n">
        <v>15.99</v>
      </c>
      <c r="H11" s="0" t="n">
        <f aca="false">F11*G11</f>
        <v>79.95</v>
      </c>
    </row>
    <row r="12" customFormat="false" ht="15" hidden="false" customHeight="false" outlineLevel="0" collapsed="false">
      <c r="A12" s="0" t="n">
        <v>1011</v>
      </c>
      <c r="B12" s="0" t="s">
        <v>30</v>
      </c>
      <c r="C12" s="0" t="s">
        <v>26</v>
      </c>
      <c r="D12" s="0" t="s">
        <v>10</v>
      </c>
      <c r="E12" s="0" t="s">
        <v>23</v>
      </c>
      <c r="F12" s="0" t="n">
        <v>2</v>
      </c>
      <c r="G12" s="0" t="n">
        <v>45</v>
      </c>
      <c r="H12" s="0" t="n">
        <f aca="false">F12*G12</f>
        <v>90</v>
      </c>
    </row>
    <row r="13" customFormat="false" ht="15" hidden="false" customHeight="false" outlineLevel="0" collapsed="false">
      <c r="A13" s="0" t="n">
        <v>1012</v>
      </c>
      <c r="B13" s="0" t="s">
        <v>31</v>
      </c>
      <c r="C13" s="0" t="s">
        <v>17</v>
      </c>
      <c r="D13" s="0" t="s">
        <v>18</v>
      </c>
      <c r="E13" s="0" t="s">
        <v>20</v>
      </c>
      <c r="F13" s="0" t="n">
        <v>8</v>
      </c>
      <c r="G13" s="0" t="n">
        <v>4.5</v>
      </c>
      <c r="H13" s="0" t="n">
        <f aca="false">F13*G13</f>
        <v>36</v>
      </c>
    </row>
    <row r="14" customFormat="false" ht="15" hidden="false" customHeight="false" outlineLevel="0" collapsed="false">
      <c r="A14" s="0" t="n">
        <v>1013</v>
      </c>
      <c r="B14" s="0" t="s">
        <v>32</v>
      </c>
      <c r="C14" s="0" t="s">
        <v>13</v>
      </c>
      <c r="D14" s="0" t="s">
        <v>14</v>
      </c>
      <c r="E14" s="0" t="s">
        <v>11</v>
      </c>
      <c r="F14" s="0" t="n">
        <v>1</v>
      </c>
      <c r="G14" s="0" t="n">
        <v>89.99</v>
      </c>
      <c r="H14" s="0" t="n">
        <f aca="false">F14*G14</f>
        <v>89.99</v>
      </c>
    </row>
    <row r="15" customFormat="false" ht="15" hidden="false" customHeight="false" outlineLevel="0" collapsed="false">
      <c r="A15" s="0" t="n">
        <v>1014</v>
      </c>
      <c r="B15" s="0" t="s">
        <v>33</v>
      </c>
      <c r="C15" s="0" t="s">
        <v>9</v>
      </c>
      <c r="D15" s="0" t="s">
        <v>10</v>
      </c>
      <c r="E15" s="0" t="s">
        <v>11</v>
      </c>
      <c r="F15" s="0" t="n">
        <v>4</v>
      </c>
      <c r="G15" s="0" t="n">
        <v>15.99</v>
      </c>
      <c r="H15" s="0" t="n">
        <f aca="false">F15*G15</f>
        <v>63.96</v>
      </c>
    </row>
    <row r="16" customFormat="false" ht="15" hidden="false" customHeight="false" outlineLevel="0" collapsed="false">
      <c r="A16" s="0" t="n">
        <v>1015</v>
      </c>
      <c r="B16" s="0" t="s">
        <v>34</v>
      </c>
      <c r="C16" s="0" t="s">
        <v>22</v>
      </c>
      <c r="D16" s="0" t="s">
        <v>14</v>
      </c>
      <c r="E16" s="0" t="s">
        <v>15</v>
      </c>
      <c r="F16" s="0" t="n">
        <v>2</v>
      </c>
      <c r="G16" s="0" t="n">
        <v>22.5</v>
      </c>
      <c r="H16" s="0" t="n">
        <f aca="false">F16*G16</f>
        <v>45</v>
      </c>
    </row>
    <row r="17" customFormat="false" ht="15" hidden="false" customHeight="false" outlineLevel="0" collapsed="false">
      <c r="A17" s="0" t="n">
        <v>1016</v>
      </c>
      <c r="B17" s="0" t="s">
        <v>35</v>
      </c>
      <c r="C17" s="0" t="s">
        <v>26</v>
      </c>
      <c r="D17" s="0" t="s">
        <v>10</v>
      </c>
      <c r="E17" s="0" t="s">
        <v>20</v>
      </c>
      <c r="F17" s="0" t="n">
        <v>3</v>
      </c>
      <c r="G17" s="0" t="n">
        <v>45</v>
      </c>
      <c r="H17" s="0" t="n">
        <f aca="false">F17*G17</f>
        <v>135</v>
      </c>
    </row>
    <row r="18" customFormat="false" ht="15" hidden="false" customHeight="false" outlineLevel="0" collapsed="false">
      <c r="A18" s="0" t="n">
        <v>1017</v>
      </c>
      <c r="B18" s="0" t="s">
        <v>36</v>
      </c>
      <c r="C18" s="0" t="s">
        <v>17</v>
      </c>
      <c r="D18" s="0" t="s">
        <v>18</v>
      </c>
      <c r="E18" s="0" t="s">
        <v>23</v>
      </c>
      <c r="F18" s="0" t="n">
        <v>12</v>
      </c>
      <c r="G18" s="0" t="n">
        <v>4.5</v>
      </c>
      <c r="H18" s="0" t="n">
        <f aca="false">F18*G18</f>
        <v>54</v>
      </c>
    </row>
    <row r="19" customFormat="false" ht="15" hidden="false" customHeight="false" outlineLevel="0" collapsed="false">
      <c r="A19" s="0" t="n">
        <v>1018</v>
      </c>
      <c r="B19" s="0" t="s">
        <v>37</v>
      </c>
      <c r="C19" s="0" t="s">
        <v>13</v>
      </c>
      <c r="D19" s="0" t="s">
        <v>14</v>
      </c>
      <c r="E19" s="0" t="s">
        <v>15</v>
      </c>
      <c r="F19" s="0" t="n">
        <v>2</v>
      </c>
      <c r="G19" s="0" t="n">
        <v>89.99</v>
      </c>
      <c r="H19" s="0" t="n">
        <f aca="false">F19*G19</f>
        <v>179.98</v>
      </c>
    </row>
    <row r="20" customFormat="false" ht="15" hidden="false" customHeight="false" outlineLevel="0" collapsed="false">
      <c r="A20" s="0" t="n">
        <v>1019</v>
      </c>
      <c r="B20" s="0" t="s">
        <v>38</v>
      </c>
      <c r="C20" s="0" t="s">
        <v>9</v>
      </c>
      <c r="D20" s="0" t="s">
        <v>10</v>
      </c>
      <c r="E20" s="0" t="s">
        <v>20</v>
      </c>
      <c r="F20" s="0" t="n">
        <v>6</v>
      </c>
      <c r="G20" s="0" t="n">
        <v>15.99</v>
      </c>
      <c r="H20" s="0" t="n">
        <f aca="false">F20*G20</f>
        <v>95.94</v>
      </c>
    </row>
    <row r="21" customFormat="false" ht="15" hidden="false" customHeight="false" outlineLevel="0" collapsed="false">
      <c r="A21" s="0" t="n">
        <v>1020</v>
      </c>
      <c r="B21" s="0" t="s">
        <v>39</v>
      </c>
      <c r="C21" s="0" t="s">
        <v>22</v>
      </c>
      <c r="D21" s="0" t="s">
        <v>14</v>
      </c>
      <c r="E21" s="0" t="s">
        <v>11</v>
      </c>
      <c r="F21" s="0" t="n">
        <v>5</v>
      </c>
      <c r="G21" s="0" t="n">
        <v>22.5</v>
      </c>
      <c r="H21" s="0" t="n">
        <f aca="false">F21*G21</f>
        <v>112.5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30" hidden="false" customHeight="true" outlineLevel="0" collapsed="false">
      <c r="A1" s="2" t="s">
        <v>40</v>
      </c>
      <c r="B1" s="2"/>
      <c r="C1" s="2"/>
      <c r="D1" s="2"/>
      <c r="E1" s="2"/>
      <c r="F1" s="2"/>
      <c r="G1" s="2"/>
      <c r="H1" s="2"/>
    </row>
    <row r="3" customFormat="false" ht="15" hidden="false" customHeight="false" outlineLevel="0" collapsed="false">
      <c r="A3" s="3" t="s">
        <v>41</v>
      </c>
      <c r="B3" s="3"/>
      <c r="D3" s="3" t="s">
        <v>42</v>
      </c>
      <c r="E3" s="3"/>
      <c r="G3" s="3" t="s">
        <v>43</v>
      </c>
      <c r="H3" s="3"/>
    </row>
    <row r="4" customFormat="false" ht="17.35" hidden="false" customHeight="false" outlineLevel="0" collapsed="false">
      <c r="A4" s="4" t="n">
        <f aca="false">SUM(Data!H2:H21)</f>
        <v>1647.24</v>
      </c>
      <c r="B4" s="4"/>
      <c r="D4" s="4" t="n">
        <f aca="false">AVERAGE(Data!H2:H21)</f>
        <v>82.362</v>
      </c>
      <c r="E4" s="4"/>
      <c r="G4" s="5" t="n">
        <f aca="false">COUNTA(Data!A2:A21)</f>
        <v>20</v>
      </c>
      <c r="H4" s="5"/>
    </row>
    <row r="7" customFormat="false" ht="15" hidden="false" customHeight="false" outlineLevel="0" collapsed="false">
      <c r="A7" s="1" t="s">
        <v>44</v>
      </c>
      <c r="D7" s="1" t="s">
        <v>45</v>
      </c>
      <c r="G7" s="1" t="s">
        <v>46</v>
      </c>
    </row>
    <row r="8" customFormat="false" ht="15" hidden="false" customHeight="false" outlineLevel="0" collapsed="false">
      <c r="A8" s="6" t="s">
        <v>3</v>
      </c>
      <c r="B8" s="6" t="s">
        <v>41</v>
      </c>
      <c r="D8" s="6" t="s">
        <v>4</v>
      </c>
      <c r="E8" s="6" t="s">
        <v>41</v>
      </c>
      <c r="G8" s="6" t="s">
        <v>2</v>
      </c>
      <c r="H8" s="6" t="s">
        <v>41</v>
      </c>
    </row>
    <row r="9" customFormat="false" ht="15" hidden="false" customHeight="false" outlineLevel="0" collapsed="false">
      <c r="A9" s="7" t="s">
        <v>10</v>
      </c>
      <c r="B9" s="8" t="n">
        <f aca="false">SUMIFS(Data!$H$2:$H$21,Data!$D$2:$D$21,A9)</f>
        <v>589.8</v>
      </c>
      <c r="D9" s="7" t="s">
        <v>20</v>
      </c>
      <c r="E9" s="8" t="n">
        <f aca="false">SUMIFS(Data!$H$2:$H$21,Data!$E$2:$E$21,D9)</f>
        <v>478.9</v>
      </c>
      <c r="G9" s="7" t="s">
        <v>26</v>
      </c>
      <c r="H9" s="8" t="n">
        <f aca="false">SUMIFS(Data!$H$2:$H$21,Data!$C$2:$C$21,G9)</f>
        <v>270</v>
      </c>
    </row>
    <row r="10" customFormat="false" ht="15" hidden="false" customHeight="false" outlineLevel="0" collapsed="false">
      <c r="A10" s="7" t="s">
        <v>14</v>
      </c>
      <c r="B10" s="8" t="n">
        <f aca="false">SUMIFS(Data!$H$2:$H$21,Data!$D$2:$D$21,A10)</f>
        <v>854.94</v>
      </c>
      <c r="D10" s="7" t="s">
        <v>11</v>
      </c>
      <c r="E10" s="8" t="n">
        <f aca="false">SUMIFS(Data!$H$2:$H$21,Data!$E$2:$E$21,D10)</f>
        <v>471.92</v>
      </c>
      <c r="G10" s="7" t="s">
        <v>22</v>
      </c>
      <c r="H10" s="8" t="n">
        <f aca="false">SUMIFS(Data!$H$2:$H$21,Data!$C$2:$C$21,G10)</f>
        <v>315</v>
      </c>
    </row>
    <row r="11" customFormat="false" ht="15" hidden="false" customHeight="false" outlineLevel="0" collapsed="false">
      <c r="A11" s="7" t="s">
        <v>18</v>
      </c>
      <c r="B11" s="8" t="n">
        <f aca="false">SUMIFS(Data!$H$2:$H$21,Data!$D$2:$D$21,A11)</f>
        <v>202.5</v>
      </c>
      <c r="D11" s="7" t="s">
        <v>15</v>
      </c>
      <c r="E11" s="8" t="n">
        <f aca="false">SUMIFS(Data!$H$2:$H$21,Data!$E$2:$E$21,D11)</f>
        <v>462.42</v>
      </c>
      <c r="G11" s="7" t="s">
        <v>17</v>
      </c>
      <c r="H11" s="8" t="n">
        <f aca="false">SUMIFS(Data!$H$2:$H$21,Data!$C$2:$C$21,G11)</f>
        <v>202.5</v>
      </c>
    </row>
    <row r="12" customFormat="false" ht="15" hidden="false" customHeight="false" outlineLevel="0" collapsed="false">
      <c r="D12" s="7" t="s">
        <v>23</v>
      </c>
      <c r="E12" s="8" t="n">
        <f aca="false">SUMIFS(Data!$H$2:$H$21,Data!$E$2:$E$21,D12)</f>
        <v>234</v>
      </c>
      <c r="G12" s="7" t="s">
        <v>13</v>
      </c>
      <c r="H12" s="8" t="n">
        <f aca="false">SUMIFS(Data!$H$2:$H$21,Data!$C$2:$C$21,G12)</f>
        <v>539.94</v>
      </c>
    </row>
    <row r="13" customFormat="false" ht="15" hidden="false" customHeight="false" outlineLevel="0" collapsed="false">
      <c r="G13" s="7" t="s">
        <v>9</v>
      </c>
      <c r="H13" s="8" t="n">
        <f aca="false">SUMIFS(Data!$H$2:$H$21,Data!$C$2:$C$21,G13)</f>
        <v>319.8</v>
      </c>
    </row>
  </sheetData>
  <mergeCells count="7">
    <mergeCell ref="A1:H1"/>
    <mergeCell ref="A3:B3"/>
    <mergeCell ref="D3:E3"/>
    <mergeCell ref="G3:H3"/>
    <mergeCell ref="A4:B4"/>
    <mergeCell ref="D4:E4"/>
    <mergeCell ref="G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2026-09-23T08:04:24Z</dcterms:created>
  <dc:creator>openpyxl</dc:creator>
  <dc:description/>
  <dc:language>en-US</dc:language>
  <cp:lastModifiedBy/>
  <dcterms:modified xsi:type="dcterms:W3CDTF">2026-09-23T08:04:26Z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